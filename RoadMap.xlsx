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ev\exchange\RichLaughter\"/>
    </mc:Choice>
  </mc:AlternateContent>
  <xr:revisionPtr revIDLastSave="0" documentId="13_ncr:1_{0EC54BDF-3F3D-479A-8CAD-4B89F449D88A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Задачи" sheetId="1" r:id="rId1"/>
    <sheet name="Идеи" sheetId="2" r:id="rId2"/>
    <sheet name="ЗИК" sheetId="3" r:id="rId3"/>
    <sheet name="стратегии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4" l="1"/>
  <c r="L3" i="4"/>
  <c r="K4" i="4"/>
  <c r="L4" i="4"/>
  <c r="K5" i="4"/>
  <c r="L5" i="4"/>
  <c r="K6" i="4"/>
  <c r="L6" i="4"/>
  <c r="K7" i="4"/>
  <c r="L7" i="4"/>
  <c r="K8" i="4"/>
  <c r="L8" i="4"/>
  <c r="K9" i="4"/>
  <c r="L9" i="4"/>
  <c r="K10" i="4"/>
  <c r="L10" i="4"/>
  <c r="K11" i="4"/>
  <c r="L11" i="4"/>
  <c r="K12" i="4"/>
  <c r="L12" i="4"/>
  <c r="K13" i="4"/>
  <c r="L13" i="4"/>
  <c r="K14" i="4"/>
  <c r="L14" i="4"/>
  <c r="K15" i="4"/>
  <c r="L15" i="4"/>
  <c r="K16" i="4"/>
  <c r="L16" i="4"/>
  <c r="K17" i="4"/>
  <c r="L17" i="4"/>
  <c r="K18" i="4"/>
  <c r="L18" i="4"/>
  <c r="K19" i="4"/>
  <c r="L19" i="4"/>
  <c r="K20" i="4"/>
  <c r="L20" i="4"/>
  <c r="K21" i="4"/>
  <c r="L21" i="4"/>
  <c r="K22" i="4"/>
  <c r="L22" i="4"/>
  <c r="K23" i="4"/>
  <c r="L23" i="4"/>
  <c r="K24" i="4"/>
  <c r="L24" i="4"/>
  <c r="K25" i="4"/>
  <c r="L25" i="4"/>
  <c r="K26" i="4"/>
  <c r="L26" i="4"/>
  <c r="K27" i="4"/>
  <c r="L27" i="4"/>
  <c r="K28" i="4"/>
  <c r="L28" i="4"/>
  <c r="K29" i="4"/>
  <c r="L29" i="4"/>
  <c r="K30" i="4"/>
  <c r="L30" i="4"/>
  <c r="K31" i="4"/>
  <c r="L31" i="4"/>
  <c r="K32" i="4"/>
  <c r="L32" i="4"/>
  <c r="K33" i="4"/>
  <c r="L33" i="4"/>
  <c r="K34" i="4"/>
  <c r="L34" i="4"/>
  <c r="K35" i="4"/>
  <c r="L35" i="4"/>
  <c r="K36" i="4"/>
  <c r="L36" i="4"/>
  <c r="K37" i="4"/>
  <c r="L37" i="4"/>
  <c r="K38" i="4"/>
  <c r="L38" i="4"/>
  <c r="K39" i="4"/>
  <c r="L39" i="4"/>
  <c r="K40" i="4"/>
  <c r="L40" i="4"/>
  <c r="K41" i="4"/>
  <c r="L41" i="4"/>
  <c r="K42" i="4"/>
  <c r="L42" i="4"/>
  <c r="K43" i="4"/>
  <c r="L43" i="4"/>
  <c r="K44" i="4"/>
  <c r="L44" i="4"/>
  <c r="K45" i="4"/>
  <c r="L45" i="4"/>
  <c r="K46" i="4"/>
  <c r="L46" i="4"/>
  <c r="K47" i="4"/>
  <c r="L47" i="4"/>
  <c r="K48" i="4"/>
  <c r="L48" i="4"/>
  <c r="K49" i="4"/>
  <c r="L49" i="4"/>
  <c r="K50" i="4"/>
  <c r="L50" i="4"/>
  <c r="K51" i="4"/>
  <c r="L51" i="4"/>
  <c r="K52" i="4"/>
  <c r="L52" i="4"/>
  <c r="L2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2" i="4"/>
</calcChain>
</file>

<file path=xl/sharedStrings.xml><?xml version="1.0" encoding="utf-8"?>
<sst xmlns="http://schemas.openxmlformats.org/spreadsheetml/2006/main" count="220" uniqueCount="155">
  <si>
    <t>Загрузка данных в виде DirHalfBars</t>
  </si>
  <si>
    <t>Шаблон для создания стратегий</t>
  </si>
  <si>
    <t>Индикаторы</t>
  </si>
  <si>
    <t>Тестирование стратегий</t>
  </si>
  <si>
    <t>Оптимизация стратегий</t>
  </si>
  <si>
    <t>Майнер стратегий</t>
  </si>
  <si>
    <t>Возможность подключать стартегии к QUIK</t>
  </si>
  <si>
    <t>Возможность подключать стартегии к Bybit</t>
  </si>
  <si>
    <t>Возможность подключать стартегии к BitGet</t>
  </si>
  <si>
    <t>Поставить обучаться модель в режиме RL на api bitget. Может быть много вариантов:</t>
  </si>
  <si>
    <t>1. Торговать по рынку</t>
  </si>
  <si>
    <t>2. Торговать лимитками, где в среду передавать результат его прошлой лимитки</t>
  </si>
  <si>
    <t>PTA</t>
  </si>
  <si>
    <t>LTA</t>
  </si>
  <si>
    <t>OGTA</t>
  </si>
  <si>
    <t>PSTA</t>
  </si>
  <si>
    <t>STACA</t>
  </si>
  <si>
    <t>STAML</t>
  </si>
  <si>
    <t>STARL</t>
  </si>
  <si>
    <t>STADL</t>
  </si>
  <si>
    <t>Универсальный бот по индикатору полезности вариантов действия в DC</t>
  </si>
  <si>
    <t>UpTrust и Spring уровней</t>
  </si>
  <si>
    <t>Зоны по объем спреду</t>
  </si>
  <si>
    <t>Последний бар с большим объемом</t>
  </si>
  <si>
    <t>Завершение обновления экстремумов</t>
  </si>
  <si>
    <t>Зоны по фракталам</t>
  </si>
  <si>
    <t>Анализ зигзага</t>
  </si>
  <si>
    <t>Взвешенные версии STAML2</t>
  </si>
  <si>
    <t>STA2</t>
  </si>
  <si>
    <t>ЦАР</t>
  </si>
  <si>
    <t>Новый анализ с БД</t>
  </si>
  <si>
    <t>MTA_SKYNET</t>
  </si>
  <si>
    <t>Пробойный бот со сменщаемым стопом</t>
  </si>
  <si>
    <t>Канал Бигбара</t>
  </si>
  <si>
    <t>Volume Profile</t>
  </si>
  <si>
    <t>Сбор ликвидности</t>
  </si>
  <si>
    <t>Название</t>
  </si>
  <si>
    <t>Плюсы</t>
  </si>
  <si>
    <t>Минусы</t>
  </si>
  <si>
    <t>Идеи</t>
  </si>
  <si>
    <t>Номер</t>
  </si>
  <si>
    <t>1_STAML2_NEWAVE_5_5_0.5_30</t>
  </si>
  <si>
    <t>попробовать сделать направленную версию</t>
  </si>
  <si>
    <t>1_PTA2_LISICA_7_2</t>
  </si>
  <si>
    <t>Б П</t>
  </si>
  <si>
    <t>КТ</t>
  </si>
  <si>
    <t>КТ,теряет выходы</t>
  </si>
  <si>
    <t>1_PTA4_WDDCr_6_30</t>
  </si>
  <si>
    <t>1_PTA4_WDDCrE_6_30</t>
  </si>
  <si>
    <t>КТ,ранние выходы</t>
  </si>
  <si>
    <t>1_PTA10_WIZARD_50_55_12_10_30</t>
  </si>
  <si>
    <t>Статистика</t>
  </si>
  <si>
    <t>Очень странные входы и выходы</t>
  </si>
  <si>
    <t>выкинуть его нафиг, добавить стоп</t>
  </si>
  <si>
    <t>1_PTA11_KUSURUKEN_50_3_20_10_c</t>
  </si>
  <si>
    <t>изучить логику, добавиьб стоп</t>
  </si>
  <si>
    <t>1_PTA12_SWDDCr_10_40_0.25_5_5</t>
  </si>
  <si>
    <t>стопы</t>
  </si>
  <si>
    <t>Адаптивный стоп</t>
  </si>
  <si>
    <t>ШБ, КТ, часто стопит в хаях,теряет выходы</t>
  </si>
  <si>
    <t>1_PTA14_RWDDCr_15_30_35_45</t>
  </si>
  <si>
    <t>Улучшить определение боковика</t>
  </si>
  <si>
    <t>Иногда занимал топ</t>
  </si>
  <si>
    <t>1_PTA15_KERRIGAN_5</t>
  </si>
  <si>
    <t>Частые стопы, УБ, КТ,ранние выходы</t>
  </si>
  <si>
    <t>1_PTA15_WIDOWMAKER_5_30</t>
  </si>
  <si>
    <t>ШБ</t>
  </si>
  <si>
    <t>1_STAML2_CHAOS_60_2_30</t>
  </si>
  <si>
    <t>Смена тренда, Сильные тренды</t>
  </si>
  <si>
    <t>Стабильный тренд (СТ) П</t>
  </si>
  <si>
    <t>Восприятие</t>
  </si>
  <si>
    <t>Перспективы</t>
  </si>
  <si>
    <t>Общий</t>
  </si>
  <si>
    <t>1_PTA2_BVGFIX_7_1_1</t>
  </si>
  <si>
    <t>СТ</t>
  </si>
  <si>
    <t>СТ, ШБ</t>
  </si>
  <si>
    <t>1_PTA2_BDDC_FIX_20_1_1</t>
  </si>
  <si>
    <t>1_PTA2_BBBU_14_1_1</t>
  </si>
  <si>
    <t>1_PTA2_BBBUr_7_1_1</t>
  </si>
  <si>
    <t>1_PTA15_TRACER_10_0</t>
  </si>
  <si>
    <t>КТ, УБ, РВ</t>
  </si>
  <si>
    <t>1_PTA2_DDCrWork_5</t>
  </si>
  <si>
    <t>КТ, ШБ, РВ</t>
  </si>
  <si>
    <t>1_LTA_OKROSHKA_10_80</t>
  </si>
  <si>
    <t>1_LTA_PIN_10_6_40_5</t>
  </si>
  <si>
    <t>1_OGTA4_DOG_10_40</t>
  </si>
  <si>
    <t>1_PTA10_MAGIC_40_80_3</t>
  </si>
  <si>
    <t>хз…</t>
  </si>
  <si>
    <t>все</t>
  </si>
  <si>
    <t>удалить и забыть про него</t>
  </si>
  <si>
    <t>1_PTA10_SORCERER_90_10_3_30_15_20</t>
  </si>
  <si>
    <t>трэш…</t>
  </si>
  <si>
    <t>1_PTA13_DWDDCr_70_40_10</t>
  </si>
  <si>
    <t>П</t>
  </si>
  <si>
    <t>Почти все</t>
  </si>
  <si>
    <t>1_STAML2_GOLDENMEAN_60_2_30_30</t>
  </si>
  <si>
    <t>редкие сделки</t>
  </si>
  <si>
    <t>Подумать над возможностью увеличения кс</t>
  </si>
  <si>
    <t>1_PTA15_SILVANA_5_30_5</t>
  </si>
  <si>
    <t>КТ Б</t>
  </si>
  <si>
    <t>1_PTA15_VALLA_10_0</t>
  </si>
  <si>
    <t>ШБ Б П</t>
  </si>
  <si>
    <t>стоп попробовать</t>
  </si>
  <si>
    <t>1_PTA15_ANNA_5_30</t>
  </si>
  <si>
    <t>1_PTA2_BDDCr_UNIVERSAL_7_1_1</t>
  </si>
  <si>
    <t>5_PTA8_LOBSTER_10_2</t>
  </si>
  <si>
    <t>5_PTA8_OBBY_10_1</t>
  </si>
  <si>
    <t>СТ, есть прям GT</t>
  </si>
  <si>
    <t>СТ, П</t>
  </si>
  <si>
    <t>Б, КТ</t>
  </si>
  <si>
    <t>1_STA2_100_3_25</t>
  </si>
  <si>
    <t>П, СТ</t>
  </si>
  <si>
    <t>СмТ, КТ</t>
  </si>
  <si>
    <t>1_STA2_FAST_100_3_20_25</t>
  </si>
  <si>
    <t>1_STA2_SLOW_100_5_15_25</t>
  </si>
  <si>
    <t>СмТ, КТ, СложВыход</t>
  </si>
  <si>
    <t>1_STA2_ULTRA_100_3_20_15</t>
  </si>
  <si>
    <t>1_PTA18_ARTAS_100_3_10_20</t>
  </si>
  <si>
    <t>CмТ, странности со стопами (не всегда срабатывает)</t>
  </si>
  <si>
    <t>1_PTA18_KELTHUZAD_100_3_10_10</t>
  </si>
  <si>
    <t>CмТ, странности</t>
  </si>
  <si>
    <t>1_PTA18_CHOGALL_100_7_10_40</t>
  </si>
  <si>
    <t>Поискать баги</t>
  </si>
  <si>
    <t>1_PTA18_GULDAN_100_7_10_40</t>
  </si>
  <si>
    <t>CмТ, странности, быстрый ход</t>
  </si>
  <si>
    <t>1_PTA18_DIABLO_100_5_15_30</t>
  </si>
  <si>
    <t>1_PTA18_DEHAKA_100_5_15_30</t>
  </si>
  <si>
    <t>1_PTA18_REXXAR_100_5_10_50_30</t>
  </si>
  <si>
    <t>1_PTA18_VARIAN_100_3_10_20_25</t>
  </si>
  <si>
    <t>1_LTA2_LOGAN_10_100_30</t>
  </si>
  <si>
    <t>Б</t>
  </si>
  <si>
    <t>1_PTA18_BLAZE_70_10_71_40_30_0</t>
  </si>
  <si>
    <t>чет очень wizard напоминает, КТ</t>
  </si>
  <si>
    <t>1_PTA18_BLAZE_70_10_71_40_30_1</t>
  </si>
  <si>
    <t>Выглядит лучше, чем собрат без стопа</t>
  </si>
  <si>
    <t>странности</t>
  </si>
  <si>
    <t>1_PTA19_ANUBARAK_30_10_40_20_10_0</t>
  </si>
  <si>
    <t>Выглядит лучше, чем BLAZE</t>
  </si>
  <si>
    <t>1_PTA19_ANUBARAK_30_10_40_20_10_1</t>
  </si>
  <si>
    <t>хз..</t>
  </si>
  <si>
    <t>ШБ, странности, стоп в хаях ШБ</t>
  </si>
  <si>
    <t>1_PTA19_JOHANNA_100_7_10_10_40_20_0</t>
  </si>
  <si>
    <t>1_PTA19_JOHANNA_100_7_10_10_40_20_1</t>
  </si>
  <si>
    <t>1_PTA19_TYRAEL_100_10_5_10_50_40_0</t>
  </si>
  <si>
    <t>1_PTA19_TYRAEL_100_10_5_10_50_40_1</t>
  </si>
  <si>
    <t>Стоп по типу баров. На импульс</t>
  </si>
  <si>
    <t>СтатистикаF</t>
  </si>
  <si>
    <t>СтатистикаS</t>
  </si>
  <si>
    <t>ОбщФ</t>
  </si>
  <si>
    <t>ОбщС</t>
  </si>
  <si>
    <t>У</t>
  </si>
  <si>
    <t>БТ,У</t>
  </si>
  <si>
    <t>СмТ, долгий стоп, стоп не всегда спасает</t>
  </si>
  <si>
    <t>СмТ, Плоский тренд, ШБ, стоп не всегда спасает</t>
  </si>
  <si>
    <t>СмТ, Плоский тренд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</si>
</sst>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4"/>
  <sheetViews>
    <sheetView workbookViewId="0">
      <selection activeCell="B15" sqref="B15"/>
    </sheetView>
  </sheetViews>
  <sheetFormatPr defaultRowHeight="15" x14ac:dyDescent="0.25"/>
  <cols>
    <col min="1" max="1" width="9.42578125" customWidth="1"/>
    <col min="2" max="2" width="55.7109375" customWidth="1"/>
  </cols>
  <sheetData>
    <row r="2" spans="1:2" x14ac:dyDescent="0.25">
      <c r="A2">
        <v>1</v>
      </c>
      <c r="B2" s="1" t="s">
        <v>0</v>
      </c>
    </row>
    <row r="3" spans="1:2" x14ac:dyDescent="0.25">
      <c r="A3">
        <v>2</v>
      </c>
      <c r="B3" s="1" t="s">
        <v>1</v>
      </c>
    </row>
    <row r="4" spans="1:2" x14ac:dyDescent="0.25">
      <c r="A4">
        <v>3</v>
      </c>
      <c r="B4" s="1" t="s">
        <v>2</v>
      </c>
    </row>
    <row r="5" spans="1:2" x14ac:dyDescent="0.25">
      <c r="A5">
        <v>4</v>
      </c>
      <c r="B5" s="1" t="s">
        <v>3</v>
      </c>
    </row>
    <row r="6" spans="1:2" x14ac:dyDescent="0.25">
      <c r="A6">
        <v>5</v>
      </c>
      <c r="B6" s="1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s="1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s="1" t="s">
        <v>8</v>
      </c>
    </row>
    <row r="11" spans="1:2" x14ac:dyDescent="0.25">
      <c r="A11">
        <v>10</v>
      </c>
    </row>
    <row r="12" spans="1:2" x14ac:dyDescent="0.25">
      <c r="A12">
        <v>11</v>
      </c>
    </row>
    <row r="13" spans="1:2" x14ac:dyDescent="0.25">
      <c r="A13">
        <v>12</v>
      </c>
    </row>
    <row r="14" spans="1:2" x14ac:dyDescent="0.25">
      <c r="A14">
        <v>13</v>
      </c>
    </row>
    <row r="15" spans="1:2" x14ac:dyDescent="0.25">
      <c r="A15">
        <v>14</v>
      </c>
    </row>
    <row r="16" spans="1:2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0EB7-7855-4FAC-A9A2-2C5B272C1639}">
  <dimension ref="B2:B4"/>
  <sheetViews>
    <sheetView workbookViewId="0">
      <selection activeCell="B6" sqref="B6"/>
    </sheetView>
  </sheetViews>
  <sheetFormatPr defaultRowHeight="15" x14ac:dyDescent="0.25"/>
  <cols>
    <col min="2" max="2" width="57.5703125" customWidth="1"/>
  </cols>
  <sheetData>
    <row r="2" spans="2:2" ht="30" x14ac:dyDescent="0.25">
      <c r="B2" s="2" t="s">
        <v>9</v>
      </c>
    </row>
    <row r="3" spans="2:2" x14ac:dyDescent="0.25">
      <c r="B3" s="2" t="s">
        <v>10</v>
      </c>
    </row>
    <row r="4" spans="2:2" ht="30" x14ac:dyDescent="0.25">
      <c r="B4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C1B4-2C76-4C34-9797-70BE6724B2A0}">
  <dimension ref="A2:J25"/>
  <sheetViews>
    <sheetView workbookViewId="0">
      <selection activeCell="E19" sqref="E19"/>
    </sheetView>
  </sheetViews>
  <sheetFormatPr defaultRowHeight="15" x14ac:dyDescent="0.25"/>
  <cols>
    <col min="2" max="10" width="26.5703125" style="2" customWidth="1"/>
  </cols>
  <sheetData>
    <row r="2" spans="1:10" x14ac:dyDescent="0.25"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6" t="s">
        <v>29</v>
      </c>
    </row>
    <row r="3" spans="1:10" ht="45" x14ac:dyDescent="0.25">
      <c r="A3" s="3">
        <v>1</v>
      </c>
      <c r="B3" s="7" t="s">
        <v>20</v>
      </c>
      <c r="C3" s="4" t="s">
        <v>32</v>
      </c>
      <c r="D3" s="4" t="s">
        <v>21</v>
      </c>
      <c r="E3" s="4" t="s">
        <v>25</v>
      </c>
      <c r="F3" s="7" t="s">
        <v>28</v>
      </c>
      <c r="G3" s="7" t="s">
        <v>27</v>
      </c>
      <c r="H3" s="4"/>
      <c r="I3" s="4"/>
      <c r="J3" s="7" t="s">
        <v>30</v>
      </c>
    </row>
    <row r="4" spans="1:10" ht="30" x14ac:dyDescent="0.25">
      <c r="A4" s="3">
        <v>2</v>
      </c>
      <c r="B4" s="7" t="s">
        <v>24</v>
      </c>
      <c r="C4" s="4" t="s">
        <v>35</v>
      </c>
      <c r="D4" s="9" t="s">
        <v>22</v>
      </c>
      <c r="E4" s="4" t="s">
        <v>26</v>
      </c>
      <c r="F4" s="4"/>
      <c r="G4" s="4"/>
      <c r="H4" s="4"/>
      <c r="I4" s="4"/>
      <c r="J4" s="8" t="s">
        <v>31</v>
      </c>
    </row>
    <row r="5" spans="1:10" ht="30" x14ac:dyDescent="0.25">
      <c r="A5" s="3">
        <v>3</v>
      </c>
      <c r="B5" s="4"/>
      <c r="C5" s="4"/>
      <c r="D5" s="4" t="s">
        <v>23</v>
      </c>
      <c r="F5" s="4"/>
      <c r="G5" s="4"/>
      <c r="H5" s="4"/>
      <c r="I5" s="4"/>
    </row>
    <row r="6" spans="1:10" x14ac:dyDescent="0.25">
      <c r="A6" s="3">
        <v>4</v>
      </c>
      <c r="B6" s="4"/>
      <c r="C6" s="4"/>
      <c r="D6" s="9" t="s">
        <v>33</v>
      </c>
      <c r="E6" s="4"/>
      <c r="F6" s="4"/>
      <c r="G6" s="4"/>
      <c r="H6" s="4"/>
      <c r="I6" s="4"/>
    </row>
    <row r="7" spans="1:10" x14ac:dyDescent="0.25">
      <c r="A7" s="3">
        <v>5</v>
      </c>
      <c r="B7" s="4"/>
      <c r="C7" s="4"/>
      <c r="D7" s="4" t="s">
        <v>34</v>
      </c>
      <c r="E7" s="4"/>
      <c r="F7" s="4"/>
      <c r="G7" s="4"/>
      <c r="H7" s="4"/>
      <c r="I7" s="4"/>
    </row>
    <row r="8" spans="1:10" x14ac:dyDescent="0.25">
      <c r="A8" s="3">
        <v>6</v>
      </c>
      <c r="B8" s="4"/>
      <c r="C8" s="4"/>
      <c r="D8" s="4"/>
      <c r="E8" s="4"/>
      <c r="F8" s="4"/>
      <c r="G8" s="4"/>
      <c r="H8" s="4"/>
      <c r="I8" s="4"/>
    </row>
    <row r="9" spans="1:10" x14ac:dyDescent="0.25">
      <c r="A9" s="3">
        <v>7</v>
      </c>
      <c r="B9" s="4"/>
      <c r="C9" s="4"/>
      <c r="D9" s="4"/>
      <c r="E9" s="4"/>
      <c r="F9" s="4"/>
      <c r="G9" s="4"/>
      <c r="H9" s="4"/>
      <c r="I9" s="4"/>
    </row>
    <row r="10" spans="1:10" x14ac:dyDescent="0.25">
      <c r="A10" s="3">
        <v>8</v>
      </c>
      <c r="B10" s="4"/>
      <c r="C10" s="4"/>
      <c r="D10" s="4"/>
      <c r="E10" s="4"/>
      <c r="F10" s="4"/>
      <c r="G10" s="4"/>
      <c r="H10" s="4"/>
      <c r="I10" s="4"/>
    </row>
    <row r="11" spans="1:10" x14ac:dyDescent="0.25">
      <c r="A11" s="3">
        <v>9</v>
      </c>
      <c r="B11" s="4"/>
      <c r="C11" s="4"/>
      <c r="D11" s="4"/>
      <c r="E11" s="4"/>
      <c r="F11" s="4"/>
      <c r="G11" s="4"/>
      <c r="H11" s="4"/>
      <c r="I11" s="4"/>
    </row>
    <row r="12" spans="1:10" x14ac:dyDescent="0.25">
      <c r="A12" s="3">
        <v>10</v>
      </c>
      <c r="B12" s="4"/>
      <c r="C12" s="4"/>
      <c r="D12" s="4"/>
      <c r="E12" s="4"/>
      <c r="F12" s="4"/>
      <c r="G12" s="4"/>
      <c r="H12" s="4"/>
      <c r="I12" s="4"/>
    </row>
    <row r="13" spans="1:10" x14ac:dyDescent="0.25">
      <c r="A13" s="3">
        <v>11</v>
      </c>
      <c r="B13" s="4"/>
      <c r="C13" s="4"/>
      <c r="D13" s="4"/>
      <c r="E13" s="4"/>
      <c r="F13" s="4"/>
      <c r="G13" s="4"/>
      <c r="H13" s="4"/>
      <c r="I13" s="4"/>
    </row>
    <row r="14" spans="1:10" x14ac:dyDescent="0.25">
      <c r="A14" s="3">
        <v>12</v>
      </c>
      <c r="B14" s="4"/>
      <c r="C14" s="4"/>
      <c r="D14" s="4"/>
      <c r="E14" s="4"/>
      <c r="F14" s="4"/>
      <c r="G14" s="4"/>
      <c r="H14" s="4"/>
      <c r="I14" s="4"/>
    </row>
    <row r="15" spans="1:10" x14ac:dyDescent="0.25">
      <c r="A15" s="3">
        <v>13</v>
      </c>
      <c r="B15" s="4"/>
      <c r="C15" s="4"/>
      <c r="D15" s="4"/>
      <c r="E15" s="4"/>
      <c r="F15" s="4"/>
      <c r="G15" s="4"/>
      <c r="H15" s="4"/>
      <c r="I15" s="4"/>
    </row>
    <row r="16" spans="1:10" x14ac:dyDescent="0.25">
      <c r="A16" s="3">
        <v>14</v>
      </c>
      <c r="B16" s="4"/>
      <c r="C16" s="4"/>
      <c r="D16" s="4"/>
      <c r="E16" s="4"/>
      <c r="F16" s="4"/>
      <c r="G16" s="4"/>
      <c r="H16" s="4"/>
      <c r="I16" s="4"/>
    </row>
    <row r="17" spans="1:9" x14ac:dyDescent="0.25">
      <c r="A17" s="3">
        <v>15</v>
      </c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3">
        <v>16</v>
      </c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3">
        <v>17</v>
      </c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3">
        <v>18</v>
      </c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3">
        <v>19</v>
      </c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3">
        <v>20</v>
      </c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3">
        <v>21</v>
      </c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3">
        <v>22</v>
      </c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3">
        <v>23</v>
      </c>
      <c r="B25" s="4"/>
      <c r="C25" s="4"/>
      <c r="D25" s="4"/>
      <c r="E25" s="4"/>
      <c r="F25" s="4"/>
      <c r="G25" s="4"/>
      <c r="H25" s="4"/>
      <c r="I2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D605-E51B-4389-B345-910A8DB80FC7}">
  <dimension ref="A1:L841"/>
  <sheetViews>
    <sheetView tabSelected="1" workbookViewId="0">
      <pane ySplit="1" topLeftCell="A29" activePane="bottomLeft" state="frozen"/>
      <selection pane="bottomLeft" activeCell="D55" sqref="D55"/>
    </sheetView>
  </sheetViews>
  <sheetFormatPr defaultRowHeight="15" x14ac:dyDescent="0.25"/>
  <cols>
    <col min="1" max="1" width="9.140625" style="3"/>
    <col min="2" max="2" width="38.7109375" style="3" customWidth="1"/>
    <col min="3" max="3" width="30.28515625" style="3" customWidth="1"/>
    <col min="4" max="4" width="49.28515625" style="3" customWidth="1"/>
    <col min="5" max="5" width="45.42578125" style="3" customWidth="1"/>
    <col min="6" max="9" width="13.140625" customWidth="1"/>
  </cols>
  <sheetData>
    <row r="1" spans="1:12" x14ac:dyDescent="0.25">
      <c r="A1" s="3" t="s">
        <v>40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70</v>
      </c>
      <c r="G1" s="3" t="s">
        <v>146</v>
      </c>
      <c r="H1" s="3" t="s">
        <v>147</v>
      </c>
      <c r="I1" s="3" t="s">
        <v>71</v>
      </c>
      <c r="J1" s="3" t="s">
        <v>72</v>
      </c>
      <c r="K1" s="3" t="s">
        <v>148</v>
      </c>
      <c r="L1" s="3" t="s">
        <v>149</v>
      </c>
    </row>
    <row r="2" spans="1:12" x14ac:dyDescent="0.25">
      <c r="B2" s="4" t="s">
        <v>41</v>
      </c>
      <c r="C2" s="3" t="s">
        <v>44</v>
      </c>
      <c r="D2" s="3" t="s">
        <v>46</v>
      </c>
      <c r="E2" s="3" t="s">
        <v>42</v>
      </c>
      <c r="F2">
        <v>7</v>
      </c>
      <c r="G2">
        <v>9</v>
      </c>
      <c r="H2">
        <v>0</v>
      </c>
      <c r="I2">
        <v>9</v>
      </c>
      <c r="J2">
        <f>SUM(F2:I2)</f>
        <v>25</v>
      </c>
      <c r="K2">
        <f>J2-H2</f>
        <v>25</v>
      </c>
      <c r="L2">
        <f>J2-G2</f>
        <v>16</v>
      </c>
    </row>
    <row r="3" spans="1:12" x14ac:dyDescent="0.25">
      <c r="B3" s="3" t="s">
        <v>43</v>
      </c>
      <c r="C3" s="3" t="s">
        <v>44</v>
      </c>
      <c r="D3" s="3" t="s">
        <v>45</v>
      </c>
      <c r="F3">
        <v>6</v>
      </c>
      <c r="G3">
        <v>8</v>
      </c>
      <c r="H3">
        <v>5</v>
      </c>
      <c r="I3">
        <v>2</v>
      </c>
      <c r="J3">
        <f t="shared" ref="J3:J52" si="0">SUM(F3:I3)</f>
        <v>21</v>
      </c>
      <c r="K3">
        <f t="shared" ref="K3:K52" si="1">J3-H3</f>
        <v>16</v>
      </c>
      <c r="L3">
        <f t="shared" ref="L3:L52" si="2">J3-G3</f>
        <v>13</v>
      </c>
    </row>
    <row r="4" spans="1:12" x14ac:dyDescent="0.25">
      <c r="B4" s="3" t="s">
        <v>47</v>
      </c>
      <c r="C4" s="3" t="s">
        <v>44</v>
      </c>
      <c r="D4" s="3" t="s">
        <v>46</v>
      </c>
      <c r="F4">
        <v>7</v>
      </c>
      <c r="G4">
        <v>8</v>
      </c>
      <c r="H4">
        <v>7</v>
      </c>
      <c r="I4">
        <v>3</v>
      </c>
      <c r="J4">
        <f t="shared" si="0"/>
        <v>25</v>
      </c>
      <c r="K4">
        <f t="shared" si="1"/>
        <v>18</v>
      </c>
      <c r="L4">
        <f t="shared" si="2"/>
        <v>17</v>
      </c>
    </row>
    <row r="5" spans="1:12" x14ac:dyDescent="0.25">
      <c r="B5" s="3" t="s">
        <v>48</v>
      </c>
      <c r="C5" s="3" t="s">
        <v>44</v>
      </c>
      <c r="D5" s="3" t="s">
        <v>49</v>
      </c>
      <c r="F5">
        <v>8</v>
      </c>
      <c r="G5">
        <v>9</v>
      </c>
      <c r="H5">
        <v>0</v>
      </c>
      <c r="I5">
        <v>3</v>
      </c>
      <c r="J5">
        <f t="shared" si="0"/>
        <v>20</v>
      </c>
      <c r="K5">
        <f t="shared" si="1"/>
        <v>20</v>
      </c>
      <c r="L5">
        <f t="shared" si="2"/>
        <v>11</v>
      </c>
    </row>
    <row r="6" spans="1:12" x14ac:dyDescent="0.25">
      <c r="B6" s="3" t="s">
        <v>50</v>
      </c>
      <c r="C6" s="3" t="s">
        <v>51</v>
      </c>
      <c r="D6" s="3" t="s">
        <v>52</v>
      </c>
      <c r="E6" s="3" t="s">
        <v>53</v>
      </c>
      <c r="F6">
        <v>3</v>
      </c>
      <c r="G6">
        <v>9</v>
      </c>
      <c r="H6">
        <v>6</v>
      </c>
      <c r="I6">
        <v>3</v>
      </c>
      <c r="J6">
        <f t="shared" si="0"/>
        <v>21</v>
      </c>
      <c r="K6">
        <f t="shared" si="1"/>
        <v>15</v>
      </c>
      <c r="L6">
        <f t="shared" si="2"/>
        <v>12</v>
      </c>
    </row>
    <row r="7" spans="1:12" x14ac:dyDescent="0.25">
      <c r="B7" s="3" t="s">
        <v>54</v>
      </c>
      <c r="C7" s="3" t="s">
        <v>51</v>
      </c>
      <c r="D7" s="3" t="s">
        <v>52</v>
      </c>
      <c r="E7" s="3" t="s">
        <v>55</v>
      </c>
      <c r="F7">
        <v>7</v>
      </c>
      <c r="G7">
        <v>10</v>
      </c>
      <c r="H7">
        <v>6</v>
      </c>
      <c r="I7">
        <v>4</v>
      </c>
      <c r="J7">
        <f t="shared" si="0"/>
        <v>27</v>
      </c>
      <c r="K7">
        <f t="shared" si="1"/>
        <v>21</v>
      </c>
      <c r="L7">
        <f t="shared" si="2"/>
        <v>17</v>
      </c>
    </row>
    <row r="8" spans="1:12" x14ac:dyDescent="0.25">
      <c r="B8" s="3" t="s">
        <v>56</v>
      </c>
      <c r="C8" s="3" t="s">
        <v>57</v>
      </c>
      <c r="D8" s="3" t="s">
        <v>59</v>
      </c>
      <c r="E8" s="3" t="s">
        <v>58</v>
      </c>
      <c r="F8">
        <v>4</v>
      </c>
      <c r="G8">
        <v>7</v>
      </c>
      <c r="H8">
        <v>6</v>
      </c>
      <c r="I8">
        <v>6</v>
      </c>
      <c r="J8">
        <f t="shared" si="0"/>
        <v>23</v>
      </c>
      <c r="K8">
        <f t="shared" si="1"/>
        <v>17</v>
      </c>
      <c r="L8">
        <f t="shared" si="2"/>
        <v>16</v>
      </c>
    </row>
    <row r="9" spans="1:12" x14ac:dyDescent="0.25">
      <c r="B9" s="3" t="s">
        <v>60</v>
      </c>
      <c r="C9" s="3" t="s">
        <v>62</v>
      </c>
      <c r="D9" s="3" t="s">
        <v>52</v>
      </c>
      <c r="E9" s="3" t="s">
        <v>61</v>
      </c>
      <c r="F9">
        <v>5</v>
      </c>
      <c r="G9">
        <v>8</v>
      </c>
      <c r="H9">
        <v>5</v>
      </c>
      <c r="I9">
        <v>6</v>
      </c>
      <c r="J9">
        <f t="shared" si="0"/>
        <v>24</v>
      </c>
      <c r="K9">
        <f t="shared" si="1"/>
        <v>19</v>
      </c>
      <c r="L9">
        <f t="shared" si="2"/>
        <v>16</v>
      </c>
    </row>
    <row r="10" spans="1:12" x14ac:dyDescent="0.25">
      <c r="B10" s="3" t="s">
        <v>63</v>
      </c>
      <c r="C10" s="3" t="s">
        <v>62</v>
      </c>
      <c r="D10" s="3" t="s">
        <v>64</v>
      </c>
      <c r="F10">
        <v>5</v>
      </c>
      <c r="G10">
        <v>5</v>
      </c>
      <c r="H10">
        <v>0</v>
      </c>
      <c r="I10">
        <v>5</v>
      </c>
      <c r="J10">
        <f t="shared" si="0"/>
        <v>15</v>
      </c>
      <c r="K10">
        <f t="shared" si="1"/>
        <v>15</v>
      </c>
      <c r="L10">
        <f t="shared" si="2"/>
        <v>10</v>
      </c>
    </row>
    <row r="11" spans="1:12" x14ac:dyDescent="0.25">
      <c r="B11" s="3" t="s">
        <v>65</v>
      </c>
      <c r="C11" s="3" t="s">
        <v>66</v>
      </c>
      <c r="D11" s="3" t="s">
        <v>49</v>
      </c>
      <c r="F11">
        <v>7</v>
      </c>
      <c r="G11">
        <v>8</v>
      </c>
      <c r="H11">
        <v>1</v>
      </c>
      <c r="I11">
        <v>5</v>
      </c>
      <c r="J11">
        <f t="shared" si="0"/>
        <v>21</v>
      </c>
      <c r="K11">
        <f t="shared" si="1"/>
        <v>20</v>
      </c>
      <c r="L11">
        <f t="shared" si="2"/>
        <v>13</v>
      </c>
    </row>
    <row r="12" spans="1:12" x14ac:dyDescent="0.25">
      <c r="B12" s="3" t="s">
        <v>67</v>
      </c>
      <c r="C12" s="3" t="s">
        <v>69</v>
      </c>
      <c r="D12" s="3" t="s">
        <v>68</v>
      </c>
      <c r="E12" s="3" t="s">
        <v>42</v>
      </c>
      <c r="F12">
        <v>7</v>
      </c>
      <c r="G12">
        <v>7</v>
      </c>
      <c r="H12">
        <v>0</v>
      </c>
      <c r="I12">
        <v>9</v>
      </c>
      <c r="J12">
        <f t="shared" si="0"/>
        <v>23</v>
      </c>
      <c r="K12">
        <f t="shared" si="1"/>
        <v>23</v>
      </c>
      <c r="L12">
        <f t="shared" si="2"/>
        <v>16</v>
      </c>
    </row>
    <row r="13" spans="1:12" x14ac:dyDescent="0.25">
      <c r="B13" s="3" t="s">
        <v>73</v>
      </c>
      <c r="C13" s="3" t="s">
        <v>75</v>
      </c>
      <c r="D13" s="3" t="s">
        <v>44</v>
      </c>
      <c r="F13">
        <v>4</v>
      </c>
      <c r="G13">
        <v>2</v>
      </c>
      <c r="H13">
        <v>3</v>
      </c>
      <c r="I13">
        <v>5</v>
      </c>
      <c r="J13">
        <f t="shared" si="0"/>
        <v>14</v>
      </c>
      <c r="K13">
        <f t="shared" si="1"/>
        <v>11</v>
      </c>
      <c r="L13">
        <f t="shared" si="2"/>
        <v>12</v>
      </c>
    </row>
    <row r="14" spans="1:12" x14ac:dyDescent="0.25">
      <c r="B14" s="3" t="s">
        <v>76</v>
      </c>
      <c r="C14" s="3" t="s">
        <v>75</v>
      </c>
      <c r="D14" s="3" t="s">
        <v>44</v>
      </c>
      <c r="F14">
        <v>4</v>
      </c>
      <c r="G14">
        <v>1</v>
      </c>
      <c r="H14">
        <v>1</v>
      </c>
      <c r="I14">
        <v>5</v>
      </c>
      <c r="J14">
        <f t="shared" si="0"/>
        <v>11</v>
      </c>
      <c r="K14">
        <f t="shared" si="1"/>
        <v>10</v>
      </c>
      <c r="L14">
        <f t="shared" si="2"/>
        <v>10</v>
      </c>
    </row>
    <row r="15" spans="1:12" x14ac:dyDescent="0.25">
      <c r="B15" s="3" t="s">
        <v>77</v>
      </c>
      <c r="C15" s="3" t="s">
        <v>75</v>
      </c>
      <c r="D15" s="3" t="s">
        <v>44</v>
      </c>
      <c r="F15">
        <v>4</v>
      </c>
      <c r="G15">
        <v>3</v>
      </c>
      <c r="H15">
        <v>1</v>
      </c>
      <c r="I15">
        <v>5</v>
      </c>
      <c r="J15">
        <f t="shared" si="0"/>
        <v>13</v>
      </c>
      <c r="K15">
        <f t="shared" si="1"/>
        <v>12</v>
      </c>
      <c r="L15">
        <f t="shared" si="2"/>
        <v>10</v>
      </c>
    </row>
    <row r="16" spans="1:12" x14ac:dyDescent="0.25">
      <c r="B16" s="3" t="s">
        <v>78</v>
      </c>
      <c r="C16" s="3" t="s">
        <v>75</v>
      </c>
      <c r="D16" s="3" t="s">
        <v>44</v>
      </c>
      <c r="F16">
        <v>5</v>
      </c>
      <c r="G16">
        <v>4</v>
      </c>
      <c r="H16">
        <v>3</v>
      </c>
      <c r="I16">
        <v>6</v>
      </c>
      <c r="J16">
        <f t="shared" si="0"/>
        <v>18</v>
      </c>
      <c r="K16">
        <f t="shared" si="1"/>
        <v>15</v>
      </c>
      <c r="L16">
        <f t="shared" si="2"/>
        <v>14</v>
      </c>
    </row>
    <row r="17" spans="2:12" x14ac:dyDescent="0.25">
      <c r="B17" s="3" t="s">
        <v>79</v>
      </c>
      <c r="C17" s="3" t="s">
        <v>66</v>
      </c>
      <c r="D17" s="3" t="s">
        <v>80</v>
      </c>
      <c r="F17">
        <v>4</v>
      </c>
      <c r="G17">
        <v>6</v>
      </c>
      <c r="H17">
        <v>5</v>
      </c>
      <c r="I17">
        <v>5</v>
      </c>
      <c r="J17">
        <f t="shared" si="0"/>
        <v>20</v>
      </c>
      <c r="K17">
        <f t="shared" si="1"/>
        <v>15</v>
      </c>
      <c r="L17">
        <f t="shared" si="2"/>
        <v>14</v>
      </c>
    </row>
    <row r="18" spans="2:12" x14ac:dyDescent="0.25">
      <c r="B18" s="3" t="s">
        <v>81</v>
      </c>
      <c r="C18" s="3" t="s">
        <v>44</v>
      </c>
      <c r="D18" s="3" t="s">
        <v>82</v>
      </c>
      <c r="F18">
        <v>5</v>
      </c>
      <c r="G18">
        <v>8</v>
      </c>
      <c r="H18">
        <v>6</v>
      </c>
      <c r="I18">
        <v>1</v>
      </c>
      <c r="J18">
        <f t="shared" si="0"/>
        <v>20</v>
      </c>
      <c r="K18">
        <f t="shared" si="1"/>
        <v>14</v>
      </c>
      <c r="L18">
        <f t="shared" si="2"/>
        <v>12</v>
      </c>
    </row>
    <row r="19" spans="2:12" x14ac:dyDescent="0.25">
      <c r="B19" s="3" t="s">
        <v>83</v>
      </c>
      <c r="C19" s="3" t="s">
        <v>44</v>
      </c>
      <c r="D19" s="3" t="s">
        <v>45</v>
      </c>
      <c r="F19">
        <v>3</v>
      </c>
      <c r="G19">
        <v>7</v>
      </c>
      <c r="H19">
        <v>7</v>
      </c>
      <c r="I19">
        <v>2</v>
      </c>
      <c r="J19">
        <f t="shared" si="0"/>
        <v>19</v>
      </c>
      <c r="K19">
        <f t="shared" si="1"/>
        <v>12</v>
      </c>
      <c r="L19">
        <f t="shared" si="2"/>
        <v>12</v>
      </c>
    </row>
    <row r="20" spans="2:12" x14ac:dyDescent="0.25">
      <c r="B20" s="3" t="s">
        <v>84</v>
      </c>
      <c r="C20" s="3" t="s">
        <v>44</v>
      </c>
      <c r="D20" s="3" t="s">
        <v>45</v>
      </c>
      <c r="F20">
        <v>5</v>
      </c>
      <c r="G20">
        <v>7</v>
      </c>
      <c r="H20">
        <v>7</v>
      </c>
      <c r="I20">
        <v>4</v>
      </c>
      <c r="J20">
        <f t="shared" si="0"/>
        <v>23</v>
      </c>
      <c r="K20">
        <f t="shared" si="1"/>
        <v>16</v>
      </c>
      <c r="L20">
        <f t="shared" si="2"/>
        <v>16</v>
      </c>
    </row>
    <row r="21" spans="2:12" x14ac:dyDescent="0.25">
      <c r="B21" s="3" t="s">
        <v>85</v>
      </c>
      <c r="C21" s="3" t="s">
        <v>44</v>
      </c>
      <c r="D21" s="3" t="s">
        <v>45</v>
      </c>
      <c r="F21">
        <v>7</v>
      </c>
      <c r="G21">
        <v>9</v>
      </c>
      <c r="H21">
        <v>7</v>
      </c>
      <c r="I21">
        <v>5</v>
      </c>
      <c r="J21">
        <f t="shared" si="0"/>
        <v>28</v>
      </c>
      <c r="K21">
        <f t="shared" si="1"/>
        <v>21</v>
      </c>
      <c r="L21">
        <f t="shared" si="2"/>
        <v>19</v>
      </c>
    </row>
    <row r="22" spans="2:12" x14ac:dyDescent="0.25">
      <c r="B22" s="3" t="s">
        <v>86</v>
      </c>
      <c r="C22" s="3" t="s">
        <v>87</v>
      </c>
      <c r="D22" s="3" t="s">
        <v>88</v>
      </c>
      <c r="E22" s="3" t="s">
        <v>89</v>
      </c>
      <c r="F22">
        <v>1</v>
      </c>
      <c r="G22">
        <v>4</v>
      </c>
      <c r="H22">
        <v>1</v>
      </c>
      <c r="I22">
        <v>5</v>
      </c>
      <c r="J22">
        <f t="shared" si="0"/>
        <v>11</v>
      </c>
      <c r="K22">
        <f t="shared" si="1"/>
        <v>10</v>
      </c>
      <c r="L22">
        <f t="shared" si="2"/>
        <v>7</v>
      </c>
    </row>
    <row r="23" spans="2:12" x14ac:dyDescent="0.25">
      <c r="B23" s="3" t="s">
        <v>90</v>
      </c>
      <c r="C23" s="3" t="s">
        <v>51</v>
      </c>
      <c r="D23" s="3" t="s">
        <v>91</v>
      </c>
      <c r="E23" s="3" t="s">
        <v>89</v>
      </c>
      <c r="F23">
        <v>1</v>
      </c>
      <c r="G23">
        <v>4</v>
      </c>
      <c r="H23">
        <v>2</v>
      </c>
      <c r="I23">
        <v>2</v>
      </c>
      <c r="J23">
        <f t="shared" si="0"/>
        <v>9</v>
      </c>
      <c r="K23">
        <f t="shared" si="1"/>
        <v>7</v>
      </c>
      <c r="L23">
        <f t="shared" si="2"/>
        <v>5</v>
      </c>
    </row>
    <row r="24" spans="2:12" x14ac:dyDescent="0.25">
      <c r="B24" s="3" t="s">
        <v>92</v>
      </c>
      <c r="C24" s="3" t="s">
        <v>93</v>
      </c>
      <c r="D24" s="3" t="s">
        <v>94</v>
      </c>
      <c r="E24" s="3" t="s">
        <v>89</v>
      </c>
      <c r="F24">
        <v>2</v>
      </c>
      <c r="G24">
        <v>1</v>
      </c>
      <c r="H24">
        <v>0</v>
      </c>
      <c r="I24">
        <v>8</v>
      </c>
      <c r="J24">
        <f t="shared" si="0"/>
        <v>11</v>
      </c>
      <c r="K24">
        <f t="shared" si="1"/>
        <v>11</v>
      </c>
      <c r="L24">
        <f t="shared" si="2"/>
        <v>10</v>
      </c>
    </row>
    <row r="25" spans="2:12" x14ac:dyDescent="0.25">
      <c r="B25" s="3" t="s">
        <v>95</v>
      </c>
      <c r="C25" s="3" t="s">
        <v>51</v>
      </c>
      <c r="D25" s="3" t="s">
        <v>96</v>
      </c>
      <c r="E25" s="3" t="s">
        <v>97</v>
      </c>
      <c r="F25">
        <v>6</v>
      </c>
      <c r="G25">
        <v>5</v>
      </c>
      <c r="H25">
        <v>5</v>
      </c>
      <c r="I25">
        <v>7</v>
      </c>
      <c r="J25">
        <f t="shared" si="0"/>
        <v>23</v>
      </c>
      <c r="K25">
        <f t="shared" si="1"/>
        <v>18</v>
      </c>
      <c r="L25">
        <f t="shared" si="2"/>
        <v>18</v>
      </c>
    </row>
    <row r="26" spans="2:12" x14ac:dyDescent="0.25">
      <c r="B26" s="3" t="s">
        <v>98</v>
      </c>
      <c r="C26" s="3" t="s">
        <v>66</v>
      </c>
      <c r="D26" s="3" t="s">
        <v>99</v>
      </c>
      <c r="F26">
        <v>7</v>
      </c>
      <c r="G26">
        <v>5</v>
      </c>
      <c r="H26">
        <v>3</v>
      </c>
      <c r="I26">
        <v>6</v>
      </c>
      <c r="J26">
        <f t="shared" si="0"/>
        <v>21</v>
      </c>
      <c r="K26">
        <f t="shared" si="1"/>
        <v>18</v>
      </c>
      <c r="L26">
        <f t="shared" si="2"/>
        <v>16</v>
      </c>
    </row>
    <row r="27" spans="2:12" x14ac:dyDescent="0.25">
      <c r="B27" s="3" t="s">
        <v>100</v>
      </c>
      <c r="C27" s="3" t="s">
        <v>101</v>
      </c>
      <c r="D27" s="3" t="s">
        <v>45</v>
      </c>
      <c r="E27" s="3" t="s">
        <v>102</v>
      </c>
      <c r="F27">
        <v>7</v>
      </c>
      <c r="G27">
        <v>8</v>
      </c>
      <c r="H27">
        <v>0</v>
      </c>
      <c r="I27">
        <v>7</v>
      </c>
      <c r="J27">
        <f t="shared" si="0"/>
        <v>22</v>
      </c>
      <c r="K27">
        <f t="shared" si="1"/>
        <v>22</v>
      </c>
      <c r="L27">
        <f t="shared" si="2"/>
        <v>14</v>
      </c>
    </row>
    <row r="28" spans="2:12" x14ac:dyDescent="0.25">
      <c r="B28" s="3" t="s">
        <v>103</v>
      </c>
      <c r="C28" s="3" t="s">
        <v>101</v>
      </c>
      <c r="D28" s="3" t="s">
        <v>45</v>
      </c>
      <c r="F28">
        <v>6</v>
      </c>
      <c r="G28">
        <v>7</v>
      </c>
      <c r="H28">
        <v>7</v>
      </c>
      <c r="I28">
        <v>5</v>
      </c>
      <c r="J28">
        <f t="shared" si="0"/>
        <v>25</v>
      </c>
      <c r="K28">
        <f t="shared" si="1"/>
        <v>18</v>
      </c>
      <c r="L28">
        <f t="shared" si="2"/>
        <v>18</v>
      </c>
    </row>
    <row r="29" spans="2:12" x14ac:dyDescent="0.25">
      <c r="B29" s="3" t="s">
        <v>104</v>
      </c>
      <c r="C29" s="3" t="s">
        <v>75</v>
      </c>
      <c r="D29" s="3" t="s">
        <v>44</v>
      </c>
      <c r="F29">
        <v>5</v>
      </c>
      <c r="G29">
        <v>4</v>
      </c>
      <c r="H29">
        <v>4</v>
      </c>
      <c r="I29">
        <v>5</v>
      </c>
      <c r="J29">
        <f t="shared" si="0"/>
        <v>18</v>
      </c>
      <c r="K29">
        <f t="shared" si="1"/>
        <v>14</v>
      </c>
      <c r="L29">
        <f t="shared" si="2"/>
        <v>14</v>
      </c>
    </row>
    <row r="30" spans="2:12" x14ac:dyDescent="0.25">
      <c r="B30" s="3" t="s">
        <v>105</v>
      </c>
      <c r="C30" s="3" t="s">
        <v>107</v>
      </c>
      <c r="D30" s="3" t="s">
        <v>44</v>
      </c>
      <c r="F30">
        <v>4</v>
      </c>
      <c r="G30">
        <v>1</v>
      </c>
      <c r="H30">
        <v>1</v>
      </c>
      <c r="I30">
        <v>4</v>
      </c>
      <c r="J30">
        <f t="shared" si="0"/>
        <v>10</v>
      </c>
      <c r="K30">
        <f t="shared" si="1"/>
        <v>9</v>
      </c>
      <c r="L30">
        <f t="shared" si="2"/>
        <v>9</v>
      </c>
    </row>
    <row r="31" spans="2:12" x14ac:dyDescent="0.25">
      <c r="B31" s="3" t="s">
        <v>106</v>
      </c>
      <c r="C31" s="3" t="s">
        <v>108</v>
      </c>
      <c r="D31" s="3" t="s">
        <v>109</v>
      </c>
      <c r="F31">
        <v>5</v>
      </c>
      <c r="G31">
        <v>1</v>
      </c>
      <c r="H31">
        <v>1</v>
      </c>
      <c r="I31">
        <v>6</v>
      </c>
      <c r="J31">
        <f t="shared" si="0"/>
        <v>13</v>
      </c>
      <c r="K31">
        <f t="shared" si="1"/>
        <v>12</v>
      </c>
      <c r="L31">
        <f t="shared" si="2"/>
        <v>12</v>
      </c>
    </row>
    <row r="32" spans="2:12" x14ac:dyDescent="0.25">
      <c r="B32" s="3" t="s">
        <v>110</v>
      </c>
      <c r="C32" s="3" t="s">
        <v>111</v>
      </c>
      <c r="D32" s="3" t="s">
        <v>112</v>
      </c>
      <c r="F32">
        <v>6</v>
      </c>
      <c r="G32">
        <v>2</v>
      </c>
      <c r="H32">
        <v>0</v>
      </c>
      <c r="I32">
        <v>5</v>
      </c>
      <c r="J32">
        <f t="shared" si="0"/>
        <v>13</v>
      </c>
      <c r="K32">
        <f t="shared" si="1"/>
        <v>13</v>
      </c>
      <c r="L32">
        <f t="shared" si="2"/>
        <v>11</v>
      </c>
    </row>
    <row r="33" spans="2:12" x14ac:dyDescent="0.25">
      <c r="B33" s="3" t="s">
        <v>113</v>
      </c>
      <c r="C33" s="3" t="s">
        <v>74</v>
      </c>
      <c r="D33" s="3" t="s">
        <v>115</v>
      </c>
      <c r="F33">
        <v>7</v>
      </c>
      <c r="G33">
        <v>5</v>
      </c>
      <c r="H33">
        <v>3</v>
      </c>
      <c r="I33">
        <v>7</v>
      </c>
      <c r="J33">
        <f t="shared" si="0"/>
        <v>22</v>
      </c>
      <c r="K33">
        <f t="shared" si="1"/>
        <v>19</v>
      </c>
      <c r="L33">
        <f t="shared" si="2"/>
        <v>17</v>
      </c>
    </row>
    <row r="34" spans="2:12" x14ac:dyDescent="0.25">
      <c r="B34" s="3" t="s">
        <v>114</v>
      </c>
      <c r="C34" s="3" t="s">
        <v>108</v>
      </c>
      <c r="D34" s="3" t="s">
        <v>115</v>
      </c>
      <c r="F34">
        <v>7</v>
      </c>
      <c r="G34">
        <v>5</v>
      </c>
      <c r="H34">
        <v>3</v>
      </c>
      <c r="I34">
        <v>7</v>
      </c>
      <c r="J34">
        <f t="shared" si="0"/>
        <v>22</v>
      </c>
      <c r="K34">
        <f t="shared" si="1"/>
        <v>19</v>
      </c>
      <c r="L34">
        <f t="shared" si="2"/>
        <v>17</v>
      </c>
    </row>
    <row r="35" spans="2:12" x14ac:dyDescent="0.25">
      <c r="B35" s="3" t="s">
        <v>116</v>
      </c>
      <c r="C35" s="3" t="s">
        <v>74</v>
      </c>
      <c r="D35" s="3" t="s">
        <v>115</v>
      </c>
      <c r="F35">
        <v>5</v>
      </c>
      <c r="G35">
        <v>2</v>
      </c>
      <c r="H35">
        <v>4</v>
      </c>
      <c r="I35">
        <v>5</v>
      </c>
      <c r="J35">
        <f t="shared" si="0"/>
        <v>16</v>
      </c>
      <c r="K35">
        <f t="shared" si="1"/>
        <v>12</v>
      </c>
      <c r="L35">
        <f t="shared" si="2"/>
        <v>14</v>
      </c>
    </row>
    <row r="36" spans="2:12" x14ac:dyDescent="0.25">
      <c r="B36" s="3" t="s">
        <v>117</v>
      </c>
      <c r="C36" s="3" t="s">
        <v>108</v>
      </c>
      <c r="D36" s="3" t="s">
        <v>118</v>
      </c>
      <c r="E36" s="3" t="s">
        <v>122</v>
      </c>
      <c r="F36">
        <v>8</v>
      </c>
      <c r="G36">
        <v>7</v>
      </c>
      <c r="H36">
        <v>6</v>
      </c>
      <c r="I36">
        <v>8</v>
      </c>
      <c r="J36">
        <f t="shared" si="0"/>
        <v>29</v>
      </c>
      <c r="K36">
        <f t="shared" si="1"/>
        <v>23</v>
      </c>
      <c r="L36">
        <f t="shared" si="2"/>
        <v>22</v>
      </c>
    </row>
    <row r="37" spans="2:12" x14ac:dyDescent="0.25">
      <c r="B37" s="3" t="s">
        <v>119</v>
      </c>
      <c r="C37" s="3" t="s">
        <v>108</v>
      </c>
      <c r="D37" s="3" t="s">
        <v>120</v>
      </c>
      <c r="E37" s="3" t="s">
        <v>122</v>
      </c>
      <c r="F37">
        <v>7</v>
      </c>
      <c r="G37">
        <v>6</v>
      </c>
      <c r="H37">
        <v>6</v>
      </c>
      <c r="I37">
        <v>7</v>
      </c>
      <c r="J37">
        <f t="shared" si="0"/>
        <v>26</v>
      </c>
      <c r="K37">
        <f t="shared" si="1"/>
        <v>20</v>
      </c>
      <c r="L37">
        <f t="shared" si="2"/>
        <v>20</v>
      </c>
    </row>
    <row r="38" spans="2:12" x14ac:dyDescent="0.25">
      <c r="B38" s="3" t="s">
        <v>121</v>
      </c>
      <c r="C38" s="3" t="s">
        <v>108</v>
      </c>
      <c r="D38" s="3" t="s">
        <v>120</v>
      </c>
      <c r="E38" s="3" t="s">
        <v>122</v>
      </c>
      <c r="F38">
        <v>7</v>
      </c>
      <c r="G38">
        <v>6</v>
      </c>
      <c r="H38">
        <v>7</v>
      </c>
      <c r="I38">
        <v>8</v>
      </c>
      <c r="J38">
        <f t="shared" si="0"/>
        <v>28</v>
      </c>
      <c r="K38">
        <f t="shared" si="1"/>
        <v>21</v>
      </c>
      <c r="L38">
        <f t="shared" si="2"/>
        <v>22</v>
      </c>
    </row>
    <row r="39" spans="2:12" x14ac:dyDescent="0.25">
      <c r="B39" s="3" t="s">
        <v>123</v>
      </c>
      <c r="C39" s="3" t="s">
        <v>108</v>
      </c>
      <c r="D39" s="3" t="s">
        <v>124</v>
      </c>
      <c r="F39">
        <v>6</v>
      </c>
      <c r="G39">
        <v>5</v>
      </c>
      <c r="H39">
        <v>7</v>
      </c>
      <c r="I39">
        <v>7</v>
      </c>
      <c r="J39">
        <f t="shared" si="0"/>
        <v>25</v>
      </c>
      <c r="K39">
        <f t="shared" si="1"/>
        <v>18</v>
      </c>
      <c r="L39">
        <f t="shared" si="2"/>
        <v>20</v>
      </c>
    </row>
    <row r="40" spans="2:12" x14ac:dyDescent="0.25">
      <c r="B40" s="3" t="s">
        <v>125</v>
      </c>
      <c r="C40" s="3" t="s">
        <v>108</v>
      </c>
      <c r="D40" s="3" t="s">
        <v>120</v>
      </c>
      <c r="E40" s="3" t="s">
        <v>122</v>
      </c>
      <c r="F40">
        <v>7</v>
      </c>
      <c r="G40">
        <v>6</v>
      </c>
      <c r="H40">
        <v>7</v>
      </c>
      <c r="I40">
        <v>8</v>
      </c>
      <c r="J40">
        <f t="shared" si="0"/>
        <v>28</v>
      </c>
      <c r="K40">
        <f t="shared" si="1"/>
        <v>21</v>
      </c>
      <c r="L40">
        <f t="shared" si="2"/>
        <v>22</v>
      </c>
    </row>
    <row r="41" spans="2:12" x14ac:dyDescent="0.25">
      <c r="B41" s="3" t="s">
        <v>126</v>
      </c>
      <c r="C41" s="3" t="s">
        <v>108</v>
      </c>
      <c r="D41" s="3" t="s">
        <v>120</v>
      </c>
      <c r="E41" s="3" t="s">
        <v>122</v>
      </c>
      <c r="F41">
        <v>7</v>
      </c>
      <c r="G41">
        <v>6</v>
      </c>
      <c r="H41">
        <v>7</v>
      </c>
      <c r="I41">
        <v>8</v>
      </c>
      <c r="J41">
        <f t="shared" si="0"/>
        <v>28</v>
      </c>
      <c r="K41">
        <f t="shared" si="1"/>
        <v>21</v>
      </c>
      <c r="L41">
        <f t="shared" si="2"/>
        <v>22</v>
      </c>
    </row>
    <row r="42" spans="2:12" x14ac:dyDescent="0.25">
      <c r="B42" s="3" t="s">
        <v>127</v>
      </c>
      <c r="C42" s="3" t="s">
        <v>108</v>
      </c>
      <c r="D42" s="3" t="s">
        <v>120</v>
      </c>
      <c r="E42" s="3" t="s">
        <v>122</v>
      </c>
      <c r="F42">
        <v>9</v>
      </c>
      <c r="G42">
        <v>7</v>
      </c>
      <c r="H42">
        <v>6</v>
      </c>
      <c r="I42">
        <v>8</v>
      </c>
      <c r="J42">
        <f t="shared" si="0"/>
        <v>30</v>
      </c>
      <c r="K42">
        <f t="shared" si="1"/>
        <v>24</v>
      </c>
      <c r="L42">
        <f t="shared" si="2"/>
        <v>23</v>
      </c>
    </row>
    <row r="43" spans="2:12" x14ac:dyDescent="0.25">
      <c r="B43" s="3" t="s">
        <v>128</v>
      </c>
      <c r="C43" s="3" t="s">
        <v>108</v>
      </c>
      <c r="D43" s="3" t="s">
        <v>120</v>
      </c>
      <c r="E43" s="3" t="s">
        <v>122</v>
      </c>
      <c r="F43">
        <v>8</v>
      </c>
      <c r="G43">
        <v>6</v>
      </c>
      <c r="H43">
        <v>6</v>
      </c>
      <c r="I43">
        <v>8</v>
      </c>
      <c r="J43">
        <f t="shared" si="0"/>
        <v>28</v>
      </c>
      <c r="K43">
        <f t="shared" si="1"/>
        <v>22</v>
      </c>
      <c r="L43">
        <f t="shared" si="2"/>
        <v>22</v>
      </c>
    </row>
    <row r="44" spans="2:12" x14ac:dyDescent="0.25">
      <c r="B44" s="3" t="s">
        <v>129</v>
      </c>
      <c r="C44" s="3" t="s">
        <v>130</v>
      </c>
      <c r="D44" s="3" t="s">
        <v>45</v>
      </c>
      <c r="F44">
        <v>5</v>
      </c>
      <c r="G44">
        <v>7</v>
      </c>
      <c r="H44">
        <v>0</v>
      </c>
      <c r="I44">
        <v>4</v>
      </c>
      <c r="J44">
        <f t="shared" si="0"/>
        <v>16</v>
      </c>
      <c r="K44">
        <f t="shared" si="1"/>
        <v>16</v>
      </c>
      <c r="L44">
        <f t="shared" si="2"/>
        <v>9</v>
      </c>
    </row>
    <row r="45" spans="2:12" x14ac:dyDescent="0.25">
      <c r="B45" s="3" t="s">
        <v>131</v>
      </c>
      <c r="C45" s="3" t="s">
        <v>51</v>
      </c>
      <c r="D45" s="3" t="s">
        <v>132</v>
      </c>
      <c r="F45">
        <v>6</v>
      </c>
      <c r="G45">
        <v>7</v>
      </c>
      <c r="H45">
        <v>7</v>
      </c>
      <c r="I45">
        <v>5</v>
      </c>
      <c r="J45">
        <f t="shared" si="0"/>
        <v>25</v>
      </c>
      <c r="K45">
        <f t="shared" si="1"/>
        <v>18</v>
      </c>
      <c r="L45">
        <f t="shared" si="2"/>
        <v>18</v>
      </c>
    </row>
    <row r="46" spans="2:12" x14ac:dyDescent="0.25">
      <c r="B46" s="3" t="s">
        <v>133</v>
      </c>
      <c r="C46" s="3" t="s">
        <v>134</v>
      </c>
      <c r="D46" s="3" t="s">
        <v>135</v>
      </c>
      <c r="F46">
        <v>7</v>
      </c>
      <c r="G46">
        <v>3</v>
      </c>
      <c r="H46">
        <v>6</v>
      </c>
      <c r="I46">
        <v>6</v>
      </c>
      <c r="J46">
        <f t="shared" si="0"/>
        <v>22</v>
      </c>
      <c r="K46">
        <f t="shared" si="1"/>
        <v>16</v>
      </c>
      <c r="L46">
        <f t="shared" si="2"/>
        <v>19</v>
      </c>
    </row>
    <row r="47" spans="2:12" x14ac:dyDescent="0.25">
      <c r="B47" s="3" t="s">
        <v>136</v>
      </c>
      <c r="C47" s="3" t="s">
        <v>137</v>
      </c>
      <c r="D47" s="3" t="s">
        <v>132</v>
      </c>
      <c r="F47">
        <v>7</v>
      </c>
      <c r="G47">
        <v>5</v>
      </c>
      <c r="H47">
        <v>7</v>
      </c>
      <c r="I47">
        <v>6</v>
      </c>
      <c r="J47">
        <f t="shared" si="0"/>
        <v>25</v>
      </c>
      <c r="K47">
        <f t="shared" si="1"/>
        <v>18</v>
      </c>
      <c r="L47">
        <f t="shared" si="2"/>
        <v>20</v>
      </c>
    </row>
    <row r="48" spans="2:12" x14ac:dyDescent="0.25">
      <c r="B48" s="3" t="s">
        <v>138</v>
      </c>
      <c r="C48" s="3" t="s">
        <v>139</v>
      </c>
      <c r="D48" s="3" t="s">
        <v>140</v>
      </c>
      <c r="F48">
        <v>6</v>
      </c>
      <c r="G48">
        <v>4</v>
      </c>
      <c r="H48">
        <v>5</v>
      </c>
      <c r="I48">
        <v>6</v>
      </c>
      <c r="J48">
        <f t="shared" si="0"/>
        <v>21</v>
      </c>
      <c r="K48">
        <f t="shared" si="1"/>
        <v>16</v>
      </c>
      <c r="L48">
        <f t="shared" si="2"/>
        <v>17</v>
      </c>
    </row>
    <row r="49" spans="2:12" x14ac:dyDescent="0.25">
      <c r="B49" s="3" t="s">
        <v>141</v>
      </c>
      <c r="C49" s="3" t="s">
        <v>150</v>
      </c>
      <c r="D49" s="3" t="s">
        <v>154</v>
      </c>
      <c r="F49">
        <v>10</v>
      </c>
      <c r="G49">
        <v>9</v>
      </c>
      <c r="H49">
        <v>7</v>
      </c>
      <c r="I49">
        <v>10</v>
      </c>
      <c r="J49">
        <f t="shared" si="0"/>
        <v>36</v>
      </c>
      <c r="K49">
        <f t="shared" si="1"/>
        <v>29</v>
      </c>
      <c r="L49">
        <f t="shared" si="2"/>
        <v>27</v>
      </c>
    </row>
    <row r="50" spans="2:12" x14ac:dyDescent="0.25">
      <c r="B50" s="3" t="s">
        <v>142</v>
      </c>
      <c r="C50" s="3" t="s">
        <v>150</v>
      </c>
      <c r="D50" s="3" t="s">
        <v>153</v>
      </c>
      <c r="F50">
        <v>11</v>
      </c>
      <c r="G50">
        <v>8</v>
      </c>
      <c r="H50">
        <v>6</v>
      </c>
      <c r="I50">
        <v>11</v>
      </c>
      <c r="J50">
        <f t="shared" si="0"/>
        <v>36</v>
      </c>
      <c r="K50">
        <f t="shared" si="1"/>
        <v>30</v>
      </c>
      <c r="L50">
        <f t="shared" si="2"/>
        <v>28</v>
      </c>
    </row>
    <row r="51" spans="2:12" x14ac:dyDescent="0.25">
      <c r="B51" s="3" t="s">
        <v>143</v>
      </c>
      <c r="C51" s="3" t="s">
        <v>151</v>
      </c>
      <c r="D51" s="3" t="s">
        <v>112</v>
      </c>
      <c r="F51">
        <v>9</v>
      </c>
      <c r="G51">
        <v>6</v>
      </c>
      <c r="H51">
        <v>7</v>
      </c>
      <c r="I51">
        <v>9</v>
      </c>
      <c r="J51">
        <f t="shared" si="0"/>
        <v>31</v>
      </c>
      <c r="K51">
        <f t="shared" si="1"/>
        <v>24</v>
      </c>
      <c r="L51">
        <f t="shared" si="2"/>
        <v>25</v>
      </c>
    </row>
    <row r="52" spans="2:12" x14ac:dyDescent="0.25">
      <c r="B52" s="3" t="s">
        <v>144</v>
      </c>
      <c r="C52" s="3" t="s">
        <v>151</v>
      </c>
      <c r="D52" s="3" t="s">
        <v>152</v>
      </c>
      <c r="E52" s="3" t="s">
        <v>145</v>
      </c>
      <c r="F52">
        <v>10</v>
      </c>
      <c r="G52">
        <v>6</v>
      </c>
      <c r="H52">
        <v>7</v>
      </c>
      <c r="I52">
        <v>10</v>
      </c>
      <c r="J52">
        <f t="shared" si="0"/>
        <v>33</v>
      </c>
      <c r="K52">
        <f t="shared" si="1"/>
        <v>26</v>
      </c>
      <c r="L52">
        <f t="shared" si="2"/>
        <v>27</v>
      </c>
    </row>
    <row r="836" spans="1:1" x14ac:dyDescent="0.25">
      <c r="A836" s="3">
        <v>836</v>
      </c>
    </row>
    <row r="837" spans="1:1" x14ac:dyDescent="0.25">
      <c r="A837" s="3">
        <v>837</v>
      </c>
    </row>
    <row r="838" spans="1:1" x14ac:dyDescent="0.25">
      <c r="A838" s="3">
        <v>838</v>
      </c>
    </row>
    <row r="839" spans="1:1" x14ac:dyDescent="0.25">
      <c r="A839" s="3">
        <v>839</v>
      </c>
    </row>
    <row r="840" spans="1:1" x14ac:dyDescent="0.25">
      <c r="A840" s="3">
        <v>840</v>
      </c>
    </row>
    <row r="841" spans="1:1" x14ac:dyDescent="0.25">
      <c r="A841" s="3">
        <v>841</v>
      </c>
    </row>
  </sheetData>
  <conditionalFormatting sqref="J1:J1048576 K1:L1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1:K104857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1:L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Задачи</vt:lpstr>
      <vt:lpstr>Идеи</vt:lpstr>
      <vt:lpstr>ЗИК</vt:lpstr>
      <vt:lpstr>стратегии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2025-04-24T18:05:12Z</dcterms:modified>
</cp:coreProperties>
</file>